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300" yWindow="460" windowWidth="19160" windowHeight="16760" tabRatio="5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10">
    <font>
      <name val="Calibri"/>
      <charset val="129"/>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color rgb="FF000000"/>
      <sz val="12"/>
      <scheme val="minor"/>
    </font>
    <font>
      <name val="Calibri"/>
      <family val="2"/>
      <i val="1"/>
      <color theme="1"/>
      <sz val="12"/>
      <scheme val="minor"/>
    </font>
    <font>
      <name val="Calibri"/>
      <family val="2"/>
      <i val="1"/>
      <color theme="1"/>
      <sz val="11"/>
      <scheme val="minor"/>
    </font>
    <font>
      <name val="Calibri"/>
      <family val="2"/>
      <color theme="1"/>
      <sz val="11"/>
      <scheme val="minor"/>
    </font>
    <font>
      <name val="Calibri (Body)_x0000_"/>
      <color rgb="FF0070C0"/>
      <sz val="12"/>
    </font>
  </fonts>
  <fills count="5">
    <fill>
      <patternFill/>
    </fill>
    <fill>
      <patternFill patternType="gray125"/>
    </fill>
    <fill>
      <patternFill patternType="solid">
        <fgColor theme="1"/>
        <bgColor indexed="64"/>
      </patternFill>
    </fill>
    <fill>
      <patternFill patternType="solid">
        <fgColor theme="8" tint="0.7999816888943144"/>
        <bgColor indexed="64"/>
      </patternFill>
    </fill>
    <fill>
      <patternFill patternType="solid">
        <fgColor theme="5" tint="0.7999816888943144"/>
        <bgColor indexed="64"/>
      </patternFill>
    </fill>
  </fills>
  <borders count="1">
    <border>
      <left/>
      <right/>
      <top/>
      <bottom/>
      <diagonal/>
    </border>
  </borders>
  <cellStyleXfs count="3">
    <xf numFmtId="0" fontId="0" fillId="0" borderId="0"/>
    <xf numFmtId="0" fontId="3" fillId="0" borderId="0"/>
    <xf numFmtId="0" fontId="4" fillId="0" borderId="0"/>
  </cellStyleXfs>
  <cellXfs count="18">
    <xf numFmtId="0" fontId="0" fillId="0" borderId="0" pivotButton="0" quotePrefix="0" xfId="0"/>
    <xf numFmtId="0" fontId="5" fillId="0" borderId="0" applyAlignment="1" pivotButton="0" quotePrefix="0" xfId="0">
      <alignment horizontal="center"/>
    </xf>
    <xf numFmtId="0" fontId="0" fillId="0" borderId="0" applyAlignment="1" pivotButton="0" quotePrefix="0" xfId="0">
      <alignment horizontal="center"/>
    </xf>
    <xf numFmtId="2" fontId="0" fillId="0" borderId="0" applyAlignment="1" pivotButton="0" quotePrefix="0" xfId="0">
      <alignment horizontal="center"/>
    </xf>
    <xf numFmtId="2" fontId="0" fillId="2" borderId="0" applyAlignment="1" pivotButton="0" quotePrefix="0" xfId="0">
      <alignment horizontal="center"/>
    </xf>
    <xf numFmtId="0" fontId="1"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left" vertical="top"/>
    </xf>
    <xf numFmtId="0" fontId="2" fillId="3" borderId="0" applyAlignment="1" pivotButton="0" quotePrefix="0" xfId="0">
      <alignment horizontal="left"/>
    </xf>
    <xf numFmtId="0" fontId="0" fillId="0" borderId="0" applyAlignment="1" pivotButton="0" quotePrefix="0" xfId="0">
      <alignment wrapText="1"/>
    </xf>
    <xf numFmtId="0" fontId="2" fillId="0" borderId="0" applyAlignment="1" pivotButton="0" quotePrefix="0" xfId="0">
      <alignment vertical="top"/>
    </xf>
    <xf numFmtId="0" fontId="6" fillId="0" borderId="0" pivotButton="0" quotePrefix="0" xfId="0"/>
    <xf numFmtId="0" fontId="0" fillId="0" borderId="0" applyAlignment="1" pivotButton="0" quotePrefix="0" xfId="0">
      <alignment horizontal="left" wrapText="1"/>
    </xf>
    <xf numFmtId="0" fontId="7" fillId="0" borderId="0" applyAlignment="1" pivotButton="0" quotePrefix="0" xfId="0">
      <alignment horizontal="center"/>
    </xf>
    <xf numFmtId="0" fontId="2" fillId="4" borderId="0" applyAlignment="1" pivotButton="0" quotePrefix="0" xfId="0">
      <alignment horizontal="center"/>
    </xf>
    <xf numFmtId="0" fontId="2" fillId="0" borderId="0" applyAlignment="1" pivotButton="0" quotePrefix="0" xfId="0">
      <alignment horizontal="left" vertical="top"/>
    </xf>
    <xf numFmtId="0" fontId="2" fillId="3" borderId="0" applyAlignment="1" pivotButton="0" quotePrefix="0" xfId="0">
      <alignment horizontal="center"/>
    </xf>
    <xf numFmtId="0" fontId="2" fillId="3" borderId="0" applyAlignment="1" pivotButton="0" quotePrefix="0" xfId="0">
      <alignment horizontal="left"/>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harts/chart1.xml><?xml version="1.0" encoding="utf-8"?>
<chartSpace xmlns:a="http://schemas.openxmlformats.org/drawingml/2006/main" xmlns="http://schemas.openxmlformats.org/drawingml/2006/chart">
  <chart>
    <plotArea>
      <layout/>
      <scatterChart>
        <scatterStyle val="smoothMarker"/>
        <varyColors val="0"/>
        <ser>
          <idx val="0"/>
          <order val="0"/>
          <tx>
            <strRef>
              <f>Sheet1!$B$5</f>
              <strCache>
                <ptCount val="1"/>
                <pt idx="0">
                  <v>merge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Sheet1!$B$6:$B$15</f>
              <numCache>
                <formatCode>0.00</formatCode>
                <ptCount val="10"/>
                <pt idx="0">
                  <v>0</v>
                </pt>
                <pt idx="1">
                  <v>0</v>
                </pt>
                <pt idx="2">
                  <v>0</v>
                </pt>
                <pt idx="3">
                  <v>0</v>
                </pt>
                <pt idx="4">
                  <v>0</v>
                </pt>
                <pt idx="5">
                  <v>0</v>
                </pt>
                <pt idx="6">
                  <v>0</v>
                </pt>
                <pt idx="7">
                  <v>0</v>
                </pt>
                <pt idx="8">
                  <v>0</v>
                </pt>
                <pt idx="9">
                  <v>0</v>
                </pt>
              </numCache>
            </numRef>
          </yVal>
          <smooth val="1"/>
        </ser>
        <ser>
          <idx val="1"/>
          <order val="1"/>
          <tx>
            <strRef>
              <f>Sheet1!$C$5</f>
              <strCache>
                <ptCount val="1"/>
                <pt idx="0">
                  <v>heap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Sheet1!$C$6:$C$15</f>
              <numCache>
                <formatCode>0.00</formatCode>
                <ptCount val="10"/>
                <pt idx="0">
                  <v>0</v>
                </pt>
                <pt idx="1">
                  <v>0</v>
                </pt>
                <pt idx="2">
                  <v>0</v>
                </pt>
                <pt idx="3">
                  <v>0</v>
                </pt>
                <pt idx="4">
                  <v>0</v>
                </pt>
                <pt idx="5">
                  <v>0</v>
                </pt>
                <pt idx="6">
                  <v>0</v>
                </pt>
                <pt idx="7">
                  <v>0</v>
                </pt>
                <pt idx="8">
                  <v>0</v>
                </pt>
                <pt idx="9">
                  <v>0</v>
                </pt>
              </numCache>
            </numRef>
          </yVal>
          <smooth val="1"/>
        </ser>
        <ser>
          <idx val="2"/>
          <order val="2"/>
          <tx>
            <strRef>
              <f>Sheet1!$D$5</f>
              <strCache>
                <ptCount val="1"/>
                <pt idx="0">
                  <v>quick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Sheet1!$D$6:$D$15</f>
              <numCache>
                <formatCode>0.00</formatCode>
                <ptCount val="10"/>
                <pt idx="0">
                  <v>0</v>
                </pt>
                <pt idx="1">
                  <v>0</v>
                </pt>
                <pt idx="2">
                  <v>0</v>
                </pt>
                <pt idx="3">
                  <v>0</v>
                </pt>
                <pt idx="4">
                  <v>0</v>
                </pt>
                <pt idx="5">
                  <v>0</v>
                </pt>
                <pt idx="6">
                  <v>0</v>
                </pt>
                <pt idx="7">
                  <v>0</v>
                </pt>
                <pt idx="8">
                  <v>0</v>
                </pt>
                <pt idx="9">
                  <v>0</v>
                </pt>
              </numCache>
            </numRef>
          </yVal>
          <smooth val="1"/>
        </ser>
        <ser>
          <idx val="3"/>
          <order val="3"/>
          <tx>
            <strRef>
              <f>Sheet1!$E$5</f>
              <strCache>
                <ptCount val="1"/>
                <pt idx="0">
                  <v>Timsort (sorted())</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Sheet1!$E$6:$E$15</f>
              <numCache>
                <formatCode>0.00</formatCode>
                <ptCount val="10"/>
                <pt idx="0">
                  <v>0</v>
                </pt>
                <pt idx="1">
                  <v>0</v>
                </pt>
                <pt idx="2">
                  <v>0</v>
                </pt>
                <pt idx="3">
                  <v>0</v>
                </pt>
                <pt idx="4">
                  <v>0</v>
                </pt>
                <pt idx="5">
                  <v>0</v>
                </pt>
                <pt idx="6">
                  <v>0</v>
                </pt>
                <pt idx="7">
                  <v>0</v>
                </pt>
                <pt idx="8">
                  <v>0</v>
                </pt>
                <pt idx="9">
                  <v>0</v>
                </pt>
              </numCache>
            </numRef>
          </yVal>
          <smooth val="1"/>
        </ser>
        <ser>
          <idx val="4"/>
          <order val="4"/>
          <tx>
            <strRef>
              <f>Sheet1!$F$5</f>
              <strCache>
                <ptCount val="1"/>
                <pt idx="0">
                  <v>insertion sort</v>
                </pt>
              </strCache>
            </strRef>
          </tx>
          <spPr>
            <a:ln>
              <a:prstDash val="solid"/>
            </a:ln>
          </spPr>
          <marker>
            <symbol val="none"/>
            <spPr>
              <a:ln>
                <a:prstDash val="solid"/>
              </a:ln>
            </spPr>
          </marker>
          <xVal>
            <numRef>
              <f>Sheet1!$A$6:$A$15</f>
              <numCache>
                <formatCode>General</formatCode>
                <ptCount val="10"/>
                <pt idx="0">
                  <v>40000</v>
                </pt>
                <pt idx="1">
                  <v>80000</v>
                </pt>
                <pt idx="2">
                  <v>160000</v>
                </pt>
                <pt idx="3">
                  <v>320000</v>
                </pt>
                <pt idx="4">
                  <v>640000</v>
                </pt>
                <pt idx="5">
                  <v>1280000</v>
                </pt>
                <pt idx="6">
                  <v>2560000</v>
                </pt>
                <pt idx="7">
                  <v>5120000</v>
                </pt>
                <pt idx="8">
                  <v>10240000</v>
                </pt>
                <pt idx="9">
                  <v>20480000</v>
                </pt>
              </numCache>
            </numRef>
          </xVal>
          <yVal>
            <numRef>
              <f>Sheet1!$F$6:$F$15</f>
              <numCache>
                <formatCode>0.00</formatCode>
                <ptCount val="10"/>
                <pt idx="0">
                  <v>0</v>
                </pt>
                <pt idx="1">
                  <v>0</v>
                </pt>
                <pt idx="2">
                  <v>0</v>
                </pt>
                <pt idx="3">
                  <v>0</v>
                </pt>
                <pt idx="4">
                  <v>0</v>
                </pt>
              </numCache>
            </numRef>
          </yVal>
          <smooth val="1"/>
        </ser>
        <dLbls>
          <showLegendKey val="0"/>
          <showVal val="0"/>
          <showCatName val="0"/>
          <showSerName val="0"/>
          <showPercent val="0"/>
          <showBubbleSize val="0"/>
        </dLbls>
        <axId val="-2125769992"/>
        <axId val="-2125485624"/>
      </scatterChart>
      <valAx>
        <axId val="-2125769992"/>
        <scaling>
          <orientation val="minMax"/>
        </scaling>
        <delete val="0"/>
        <axPos val="b"/>
        <numFmt formatCode="General" sourceLinked="1"/>
        <majorTickMark val="out"/>
        <minorTickMark val="none"/>
        <tickLblPos val="nextTo"/>
        <crossAx val="-2125485624"/>
        <crosses val="autoZero"/>
        <crossBetween val="midCat"/>
      </valAx>
      <valAx>
        <axId val="-2125485624"/>
        <scaling>
          <orientation val="minMax"/>
        </scaling>
        <delete val="0"/>
        <axPos val="l"/>
        <majorGridlines/>
        <numFmt formatCode="0.00" sourceLinked="1"/>
        <majorTickMark val="out"/>
        <minorTickMark val="none"/>
        <tickLblPos val="nextTo"/>
        <crossAx val="-2125769992"/>
        <crosses val="autoZero"/>
        <crossBetween val="midCat"/>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8</col>
      <colOff>12700</colOff>
      <row>4</row>
      <rowOff>12700</rowOff>
    </from>
    <to>
      <col>13</col>
      <colOff>812800</colOff>
      <row>26</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N54"/>
  <sheetViews>
    <sheetView tabSelected="1" zoomScale="152" zoomScaleNormal="152" workbookViewId="0">
      <selection activeCell="A1" sqref="A1"/>
    </sheetView>
  </sheetViews>
  <sheetFormatPr baseColWidth="10" defaultRowHeight="16"/>
  <cols>
    <col width="11.83203125" customWidth="1" min="1" max="6"/>
    <col width="5.83203125" customWidth="1" min="7" max="8"/>
    <col width="10.1640625" customWidth="1" min="9" max="9"/>
    <col width="4.1640625" customWidth="1" min="10" max="10"/>
    <col width="49.6640625" customWidth="1" min="11" max="11"/>
  </cols>
  <sheetData>
    <row r="1" ht="33" customHeight="1">
      <c r="A1" s="10" t="inlineStr">
        <is>
          <t>Instructions:</t>
        </is>
      </c>
      <c r="B1" s="12" t="inlineStr">
        <is>
          <r>
            <t xml:space="preserve">Only update the </t>
          </r>
          <r>
            <rPr>
              <b val="1"/>
              <color rgb="004472C4"/>
            </rPr>
            <t>BLUE</t>
          </r>
          <r>
            <t xml:space="preserve"> portions of the spreadsheet. All pink portions will be automatically updated when you fill in the info for Trial 1, 2, and 3. 
Be sure to also answer the questions about ranking and Big-O</t>
          </r>
        </is>
      </c>
      <c r="L1" s="9" t="n"/>
      <c r="M1" s="9" t="n"/>
    </row>
    <row r="4">
      <c r="A4" s="14" t="inlineStr">
        <is>
          <t>Average of Trials (don't make any changes here!)</t>
        </is>
      </c>
      <c r="I4" s="14" t="inlineStr">
        <is>
          <t>Graphical representation of sorting algorithm execution times</t>
        </is>
      </c>
    </row>
    <row r="5">
      <c r="A5" s="1" t="inlineStr">
        <is>
          <t>n</t>
        </is>
      </c>
      <c r="B5" s="2" t="inlineStr">
        <is>
          <t>merge sort</t>
        </is>
      </c>
      <c r="C5" s="2" t="inlineStr">
        <is>
          <t>heap sort</t>
        </is>
      </c>
      <c r="D5" s="2" t="inlineStr">
        <is>
          <t>quick sort</t>
        </is>
      </c>
      <c r="E5" s="2" t="inlineStr">
        <is>
          <t>Timsort (sorted())</t>
        </is>
      </c>
      <c r="F5" s="2" t="inlineStr">
        <is>
          <t>insertion sort</t>
        </is>
      </c>
    </row>
    <row r="6">
      <c r="A6" s="2" t="n">
        <v>1000</v>
      </c>
      <c r="B6" s="3">
        <f>AVERAGE(B19,B32,B45)</f>
        <v/>
      </c>
      <c r="C6" s="3">
        <f>AVERAGE(C19,C32,C45)</f>
        <v/>
      </c>
      <c r="D6" s="3">
        <f>AVERAGE(D19,D32,D45)</f>
        <v/>
      </c>
      <c r="E6" s="3">
        <f>AVERAGE(E19,E32,E45)</f>
        <v/>
      </c>
      <c r="F6" s="3">
        <f>AVERAGE(F19,F32,F45)</f>
        <v/>
      </c>
    </row>
    <row r="7">
      <c r="A7" s="2" t="n">
        <v>2000</v>
      </c>
      <c r="B7" s="3">
        <f>AVERAGE(B20,B33,B46)</f>
        <v/>
      </c>
      <c r="C7" s="3">
        <f>AVERAGE(C20,C33,C46)</f>
        <v/>
      </c>
      <c r="D7" s="3">
        <f>AVERAGE(D20,D33,D46)</f>
        <v/>
      </c>
      <c r="E7" s="3">
        <f>AVERAGE(E20,E33,E46)</f>
        <v/>
      </c>
      <c r="F7" s="3">
        <f>AVERAGE(F20,F33,F46)</f>
        <v/>
      </c>
    </row>
    <row r="8">
      <c r="A8" s="2" t="n">
        <v>4000</v>
      </c>
      <c r="B8" s="3">
        <f>AVERAGE(B21,B34,B47)</f>
        <v/>
      </c>
      <c r="C8" s="3">
        <f>AVERAGE(C21,C34,C47)</f>
        <v/>
      </c>
      <c r="D8" s="3">
        <f>AVERAGE(D21,D34,D47)</f>
        <v/>
      </c>
      <c r="E8" s="3">
        <f>AVERAGE(E21,E34,E47)</f>
        <v/>
      </c>
      <c r="F8" s="3">
        <f>AVERAGE(F21,F34,F47)</f>
        <v/>
      </c>
    </row>
    <row r="9">
      <c r="A9" s="2" t="n">
        <v>8000</v>
      </c>
      <c r="B9" s="3">
        <f>AVERAGE(B22,B35,B48)</f>
        <v/>
      </c>
      <c r="C9" s="3">
        <f>AVERAGE(C22,C35,C48)</f>
        <v/>
      </c>
      <c r="D9" s="3">
        <f>AVERAGE(D22,D35,D48)</f>
        <v/>
      </c>
      <c r="E9" s="3">
        <f>AVERAGE(E22,E35,E48)</f>
        <v/>
      </c>
      <c r="F9" s="3">
        <f>AVERAGE(F22,F35,F48)</f>
        <v/>
      </c>
    </row>
    <row r="10">
      <c r="A10" s="2" t="n">
        <v>16000</v>
      </c>
      <c r="B10" s="3">
        <f>AVERAGE(B23,B36,B49)</f>
        <v/>
      </c>
      <c r="C10" s="3">
        <f>AVERAGE(C23,C36,C49)</f>
        <v/>
      </c>
      <c r="D10" s="3">
        <f>AVERAGE(D23,D36,D49)</f>
        <v/>
      </c>
      <c r="E10" s="3">
        <f>AVERAGE(E23,E36,E49)</f>
        <v/>
      </c>
      <c r="F10" s="3">
        <f>AVERAGE(F23,F36,F49)</f>
        <v/>
      </c>
    </row>
    <row r="11">
      <c r="A11" s="2" t="n">
        <v>32000</v>
      </c>
      <c r="B11" s="3">
        <f>AVERAGE(B24,B37,B50)</f>
        <v/>
      </c>
      <c r="C11" s="3">
        <f>AVERAGE(C24,C37,C50)</f>
        <v/>
      </c>
      <c r="D11" s="3">
        <f>AVERAGE(D24,D37,D50)</f>
        <v/>
      </c>
      <c r="E11" s="3">
        <f>AVERAGE(E24,E37,E50)</f>
        <v/>
      </c>
      <c r="F11" s="4" t="n"/>
    </row>
    <row r="12">
      <c r="A12" s="2" t="n">
        <v>64000</v>
      </c>
      <c r="B12" s="3">
        <f>AVERAGE(B25,B38,B51)</f>
        <v/>
      </c>
      <c r="C12" s="3">
        <f>AVERAGE(C25,C38,C51)</f>
        <v/>
      </c>
      <c r="D12" s="3">
        <f>AVERAGE(D25,D38,D51)</f>
        <v/>
      </c>
      <c r="E12" s="3">
        <f>AVERAGE(E25,E38,E51)</f>
        <v/>
      </c>
      <c r="F12" s="4" t="n"/>
    </row>
    <row r="13">
      <c r="A13" s="2" t="n">
        <v>128000</v>
      </c>
      <c r="B13" s="3">
        <f>AVERAGE(B26,B39,B52)</f>
        <v/>
      </c>
      <c r="C13" s="3">
        <f>AVERAGE(C26,C39,C52)</f>
        <v/>
      </c>
      <c r="D13" s="3">
        <f>AVERAGE(D26,D39,D52)</f>
        <v/>
      </c>
      <c r="E13" s="3">
        <f>AVERAGE(E26,E39,E52)</f>
        <v/>
      </c>
      <c r="F13" s="4" t="n"/>
    </row>
    <row r="14">
      <c r="A14" s="2" t="n">
        <v>256000</v>
      </c>
      <c r="B14" s="3">
        <f>AVERAGE(B27,B40,B53)</f>
        <v/>
      </c>
      <c r="C14" s="3">
        <f>AVERAGE(C27,C40,C53)</f>
        <v/>
      </c>
      <c r="D14" s="3">
        <f>AVERAGE(D27,D40,D53)</f>
        <v/>
      </c>
      <c r="E14" s="3">
        <f>AVERAGE(E27,E40,E53)</f>
        <v/>
      </c>
      <c r="F14" s="4" t="n"/>
    </row>
    <row r="15">
      <c r="A15" s="2" t="n">
        <v>512000</v>
      </c>
      <c r="B15" s="3">
        <f>AVERAGE(B28,B41,B54)</f>
        <v/>
      </c>
      <c r="C15" s="3">
        <f>AVERAGE(C28,C41,C54)</f>
        <v/>
      </c>
      <c r="D15" s="3">
        <f>AVERAGE(D28,D41,D54)</f>
        <v/>
      </c>
      <c r="E15" s="3">
        <f>AVERAGE(E28,E41,E54)</f>
        <v/>
      </c>
      <c r="F15" s="4" t="n"/>
    </row>
    <row r="17">
      <c r="A17" s="16" t="inlineStr">
        <is>
          <t>Trial 1 (log execution time)</t>
        </is>
      </c>
    </row>
    <row r="18">
      <c r="A18" s="1" t="inlineStr">
        <is>
          <t>n</t>
        </is>
      </c>
      <c r="B18" s="2" t="inlineStr">
        <is>
          <t>merge sort</t>
        </is>
      </c>
      <c r="C18" s="2" t="inlineStr">
        <is>
          <t>heap sort</t>
        </is>
      </c>
      <c r="D18" s="2" t="inlineStr">
        <is>
          <t>quick sort</t>
        </is>
      </c>
      <c r="E18" s="2" t="inlineStr">
        <is>
          <t>Timsort (sorted())</t>
        </is>
      </c>
      <c r="F18" s="2" t="inlineStr">
        <is>
          <t>insertion sort</t>
        </is>
      </c>
    </row>
    <row r="19">
      <c r="A19" s="2" t="n">
        <v>1000</v>
      </c>
      <c r="B19" s="3" t="n"/>
      <c r="C19" s="3" t="n"/>
      <c r="D19" s="3" t="n"/>
      <c r="E19" s="3" t="n"/>
      <c r="F19" s="3" t="n"/>
    </row>
    <row r="20">
      <c r="A20" s="2" t="n">
        <v>2000</v>
      </c>
      <c r="B20" s="3" t="n"/>
      <c r="C20" s="3" t="n"/>
      <c r="D20" s="3" t="n"/>
      <c r="E20" s="3" t="n"/>
      <c r="F20" s="3" t="n"/>
    </row>
    <row r="21">
      <c r="A21" s="2" t="n">
        <v>4000</v>
      </c>
      <c r="B21" s="3" t="n"/>
      <c r="C21" s="3" t="n"/>
      <c r="D21" s="3" t="n"/>
      <c r="E21" s="3" t="n"/>
      <c r="F21" s="3" t="n"/>
    </row>
    <row r="22">
      <c r="A22" s="2" t="n">
        <v>8000</v>
      </c>
      <c r="B22" s="3" t="n"/>
      <c r="C22" s="3" t="n"/>
      <c r="D22" s="3" t="n"/>
      <c r="E22" s="3" t="n"/>
      <c r="F22" s="3" t="n"/>
    </row>
    <row r="23">
      <c r="A23" s="2" t="n">
        <v>16000</v>
      </c>
      <c r="B23" s="3" t="n"/>
      <c r="C23" s="3" t="n"/>
      <c r="D23" s="3" t="n"/>
      <c r="E23" s="3" t="n"/>
      <c r="F23" s="3" t="n"/>
    </row>
    <row r="24">
      <c r="A24" s="2" t="n">
        <v>32000</v>
      </c>
      <c r="B24" s="3" t="n"/>
      <c r="C24" s="3" t="n"/>
      <c r="D24" s="3" t="n"/>
      <c r="E24" s="3" t="n"/>
      <c r="F24" s="4" t="n"/>
      <c r="L24" s="11" t="n"/>
      <c r="M24" s="11" t="n"/>
      <c r="N24" s="11" t="n"/>
    </row>
    <row r="25">
      <c r="A25" s="2" t="n">
        <v>64000</v>
      </c>
      <c r="B25" s="3" t="n"/>
      <c r="C25" s="3" t="n"/>
      <c r="D25" s="3" t="n"/>
      <c r="E25" s="3" t="n"/>
      <c r="F25" s="4" t="n"/>
    </row>
    <row r="26">
      <c r="A26" s="2" t="n">
        <v>128000</v>
      </c>
      <c r="B26" s="3" t="n"/>
      <c r="C26" s="3" t="n"/>
      <c r="D26" s="3" t="n"/>
      <c r="E26" s="3" t="n"/>
      <c r="F26" s="4" t="n"/>
    </row>
    <row r="27">
      <c r="A27" s="2" t="n">
        <v>256000</v>
      </c>
      <c r="B27" s="3" t="n"/>
      <c r="C27" s="3" t="n"/>
      <c r="D27" s="3" t="n"/>
      <c r="E27" s="3" t="n"/>
      <c r="F27" s="4" t="n"/>
      <c r="I27" s="13" t="inlineStr">
        <is>
          <t>(do not change the graph; it will automatically update when you log your execution times)</t>
        </is>
      </c>
    </row>
    <row r="28">
      <c r="A28" s="2" t="n">
        <v>512000</v>
      </c>
      <c r="B28" s="3" t="n"/>
      <c r="C28" s="3" t="n"/>
      <c r="D28" s="3" t="n"/>
      <c r="E28" s="3" t="n"/>
      <c r="F28" s="4" t="n"/>
    </row>
    <row r="30">
      <c r="A30" s="16" t="inlineStr">
        <is>
          <t>Trial 2 (log execution time)</t>
        </is>
      </c>
      <c r="I30" s="17" t="inlineStr">
        <is>
          <t>How do the sorting algorithms rank (fastest to slowest)?</t>
        </is>
      </c>
    </row>
    <row r="31">
      <c r="A31" s="1" t="inlineStr">
        <is>
          <t>n</t>
        </is>
      </c>
      <c r="B31" s="2" t="inlineStr">
        <is>
          <t>merge sort</t>
        </is>
      </c>
      <c r="C31" s="2" t="inlineStr">
        <is>
          <t>heap sort</t>
        </is>
      </c>
      <c r="D31" s="2" t="inlineStr">
        <is>
          <t>quick sort</t>
        </is>
      </c>
      <c r="E31" s="2" t="inlineStr">
        <is>
          <t>Timsort (sorted())</t>
        </is>
      </c>
      <c r="F31" s="2" t="inlineStr">
        <is>
          <t>insertion sort</t>
        </is>
      </c>
      <c r="I31" s="2" t="inlineStr">
        <is>
          <t>Fastest</t>
        </is>
      </c>
      <c r="J31" s="2" t="n">
        <v>1</v>
      </c>
    </row>
    <row r="32">
      <c r="A32" s="2" t="n">
        <v>1000</v>
      </c>
      <c r="B32" s="3" t="n"/>
      <c r="C32" s="3" t="n"/>
      <c r="D32" s="3" t="n"/>
      <c r="E32" s="3" t="n"/>
      <c r="F32" s="3" t="n"/>
      <c r="I32" s="2" t="n"/>
      <c r="J32" s="2" t="n">
        <v>2</v>
      </c>
    </row>
    <row r="33">
      <c r="A33" s="2" t="n">
        <v>2000</v>
      </c>
      <c r="B33" s="3" t="n"/>
      <c r="C33" s="3" t="n"/>
      <c r="D33" s="3" t="n"/>
      <c r="E33" s="3" t="n"/>
      <c r="F33" s="3" t="n"/>
      <c r="I33" s="2" t="n"/>
      <c r="J33" s="2" t="n">
        <v>3</v>
      </c>
    </row>
    <row r="34">
      <c r="A34" s="2" t="n">
        <v>4000</v>
      </c>
      <c r="B34" s="3" t="n"/>
      <c r="C34" s="3" t="n"/>
      <c r="D34" s="3" t="n"/>
      <c r="E34" s="3" t="n"/>
      <c r="F34" s="3" t="n"/>
      <c r="I34" s="2" t="n"/>
      <c r="J34" s="2" t="n">
        <v>4</v>
      </c>
    </row>
    <row r="35">
      <c r="A35" s="2" t="n">
        <v>8000</v>
      </c>
      <c r="B35" s="3" t="n"/>
      <c r="C35" s="3" t="n"/>
      <c r="D35" s="3" t="n"/>
      <c r="E35" s="3" t="n"/>
      <c r="F35" s="3" t="n"/>
      <c r="I35" s="2" t="inlineStr">
        <is>
          <t>Slowest</t>
        </is>
      </c>
      <c r="J35" s="2" t="n">
        <v>5</v>
      </c>
    </row>
    <row r="36">
      <c r="A36" s="2" t="n">
        <v>16000</v>
      </c>
      <c r="B36" s="3" t="n"/>
      <c r="C36" s="3" t="n"/>
      <c r="D36" s="3" t="n"/>
      <c r="E36" s="3" t="n"/>
      <c r="F36" s="3" t="n"/>
    </row>
    <row r="37">
      <c r="A37" s="2" t="n">
        <v>32000</v>
      </c>
      <c r="B37" s="3" t="n"/>
      <c r="C37" s="3" t="n"/>
      <c r="D37" s="3" t="n"/>
      <c r="E37" s="3" t="n"/>
      <c r="F37" s="4" t="n"/>
    </row>
    <row r="38">
      <c r="A38" s="2" t="n">
        <v>64000</v>
      </c>
      <c r="B38" s="3" t="n"/>
      <c r="C38" s="3" t="n"/>
      <c r="D38" s="3" t="n"/>
      <c r="E38" s="3" t="n"/>
      <c r="F38" s="4" t="n"/>
    </row>
    <row r="39">
      <c r="A39" s="2" t="n">
        <v>128000</v>
      </c>
      <c r="B39" s="3" t="n"/>
      <c r="C39" s="3" t="n"/>
      <c r="D39" s="3" t="n"/>
      <c r="E39" s="3" t="n"/>
      <c r="F39" s="4" t="n"/>
      <c r="I39" s="17" t="inlineStr">
        <is>
          <t>Do the graphs correspond with the Big-O of each of the sorting algorithms?</t>
        </is>
      </c>
      <c r="J39" s="17" t="n"/>
      <c r="K39" s="17" t="n"/>
    </row>
    <row r="40">
      <c r="A40" s="2" t="n">
        <v>256000</v>
      </c>
      <c r="B40" s="3" t="n"/>
      <c r="C40" s="3" t="n"/>
      <c r="D40" s="3" t="n"/>
      <c r="E40" s="3" t="n"/>
      <c r="F40" s="4" t="n"/>
      <c r="I40" s="5" t="inlineStr">
        <is>
          <t>Add your answer here:</t>
        </is>
      </c>
      <c r="J40" s="15" t="n"/>
      <c r="K40" s="15" t="n"/>
    </row>
    <row r="41">
      <c r="A41" s="2" t="n">
        <v>512000</v>
      </c>
      <c r="B41" s="3" t="n"/>
      <c r="C41" s="3" t="n"/>
      <c r="D41" s="3" t="n"/>
      <c r="E41" s="3" t="n"/>
      <c r="F41" s="4" t="n"/>
      <c r="I41" s="15" t="n"/>
    </row>
    <row r="42"/>
    <row r="43">
      <c r="A43" s="16" t="inlineStr">
        <is>
          <t>Trial 3 (log execution time)</t>
        </is>
      </c>
    </row>
    <row r="44">
      <c r="A44" s="1" t="inlineStr">
        <is>
          <t>n</t>
        </is>
      </c>
      <c r="B44" s="2" t="inlineStr">
        <is>
          <t>merge sort</t>
        </is>
      </c>
      <c r="C44" s="2" t="inlineStr">
        <is>
          <t>heap sort</t>
        </is>
      </c>
      <c r="D44" s="2" t="inlineStr">
        <is>
          <t>quick sort</t>
        </is>
      </c>
      <c r="E44" s="2" t="inlineStr">
        <is>
          <t>Timsort (sorted())</t>
        </is>
      </c>
      <c r="F44" s="2" t="inlineStr">
        <is>
          <t>insertion sort</t>
        </is>
      </c>
    </row>
    <row r="45">
      <c r="A45" s="2" t="n">
        <v>1000</v>
      </c>
      <c r="B45" s="3" t="n"/>
      <c r="C45" s="3" t="n"/>
      <c r="D45" s="3" t="n"/>
      <c r="E45" s="3" t="n"/>
      <c r="F45" s="3" t="n"/>
    </row>
    <row r="46">
      <c r="A46" s="2" t="n">
        <v>2000</v>
      </c>
      <c r="B46" s="3" t="n"/>
      <c r="C46" s="3" t="n"/>
      <c r="D46" s="3" t="n"/>
      <c r="E46" s="3" t="n"/>
      <c r="F46" s="3" t="n"/>
    </row>
    <row r="47">
      <c r="A47" s="2" t="n">
        <v>4000</v>
      </c>
      <c r="B47" s="3" t="n"/>
      <c r="C47" s="3" t="n"/>
      <c r="D47" s="3" t="n"/>
      <c r="E47" s="3" t="n"/>
      <c r="F47" s="3" t="n"/>
    </row>
    <row r="48">
      <c r="A48" s="2" t="n">
        <v>8000</v>
      </c>
      <c r="B48" s="3" t="n"/>
      <c r="C48" s="3" t="n"/>
      <c r="D48" s="3" t="n"/>
      <c r="E48" s="3" t="n"/>
      <c r="F48" s="3" t="n"/>
    </row>
    <row r="49">
      <c r="A49" s="2" t="n">
        <v>16000</v>
      </c>
      <c r="B49" s="3" t="n"/>
      <c r="C49" s="3" t="n"/>
      <c r="D49" s="3" t="n"/>
      <c r="E49" s="3" t="n"/>
      <c r="F49" s="3" t="n"/>
      <c r="I49" s="15" t="n"/>
      <c r="J49" s="15" t="n"/>
      <c r="K49" s="15" t="n"/>
    </row>
    <row r="50">
      <c r="A50" s="2" t="n">
        <v>32000</v>
      </c>
      <c r="B50" s="3" t="n"/>
      <c r="C50" s="3" t="n"/>
      <c r="D50" s="3" t="n"/>
      <c r="E50" s="3" t="n"/>
      <c r="F50" s="4" t="n"/>
      <c r="I50" s="15" t="n"/>
      <c r="J50" s="15" t="n"/>
      <c r="K50" s="15" t="n"/>
    </row>
    <row r="51">
      <c r="A51" s="2" t="n">
        <v>64000</v>
      </c>
      <c r="B51" s="3" t="n"/>
      <c r="C51" s="3" t="n"/>
      <c r="D51" s="3" t="n"/>
      <c r="E51" s="3" t="n"/>
      <c r="F51" s="4" t="n"/>
      <c r="I51" s="15" t="n"/>
      <c r="J51" s="15" t="n"/>
      <c r="K51" s="15" t="n"/>
    </row>
    <row r="52">
      <c r="A52" s="2" t="n">
        <v>128000</v>
      </c>
      <c r="B52" s="3" t="n"/>
      <c r="C52" s="3" t="n"/>
      <c r="D52" s="3" t="n"/>
      <c r="E52" s="3" t="n"/>
      <c r="F52" s="4" t="n"/>
      <c r="I52" s="15" t="n"/>
      <c r="J52" s="15" t="n"/>
      <c r="K52" s="15" t="n"/>
    </row>
    <row r="53">
      <c r="A53" s="2" t="n">
        <v>256000</v>
      </c>
      <c r="B53" s="3" t="n"/>
      <c r="C53" s="3" t="n"/>
      <c r="D53" s="3" t="n"/>
      <c r="E53" s="3" t="n"/>
      <c r="F53" s="4" t="n"/>
    </row>
    <row r="54">
      <c r="A54" s="2" t="n">
        <v>512000</v>
      </c>
      <c r="B54" s="3" t="n"/>
      <c r="C54" s="3" t="n"/>
      <c r="D54" s="3" t="n"/>
      <c r="E54" s="3" t="n"/>
      <c r="F54" s="4" t="n"/>
    </row>
  </sheetData>
  <mergeCells count="9">
    <mergeCell ref="B1:K1"/>
    <mergeCell ref="I27:N27"/>
    <mergeCell ref="I41:K44"/>
    <mergeCell ref="A17:F17"/>
    <mergeCell ref="A4:F4"/>
    <mergeCell ref="A30:F30"/>
    <mergeCell ref="I4:N4"/>
    <mergeCell ref="I30:K30"/>
    <mergeCell ref="A43:F43"/>
  </mergeCells>
  <pageMargins left="0.75" right="0.75" top="1" bottom="1" header="0.5" footer="0.5"/>
  <pageSetup orientation="portrait" horizontalDpi="4294967292" verticalDpi="4294967292"/>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Sheila Oh</dc:creator>
  <dcterms:created xsi:type="dcterms:W3CDTF">2017-08-28T02:13:09Z</dcterms:created>
  <dcterms:modified xsi:type="dcterms:W3CDTF">2026-03-17T15:45:10Z</dcterms:modified>
  <cp:lastModifiedBy>Oh, Sheila</cp:lastModifiedBy>
</cp:coreProperties>
</file>